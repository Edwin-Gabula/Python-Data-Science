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60"/>
  </bookViews>
  <sheets>
    <sheet name="stock availability" sheetId="1" r:id="rId1"/>
    <sheet name="Retention" sheetId="2" r:id="rId2"/>
    <sheet name="VL Monitoring" sheetId="3" r:id="rId3"/>
  </sheets>
  <definedNames>
    <definedName name="_Toc215756273" localSheetId="0">'stock availability'!$A$1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<sst xmlns="http://schemas.openxmlformats.org/spreadsheetml/2006/main" count="113" uniqueCount="58">
  <si>
    <t xml:space="preserve">STOCK AVAILABILITY
HEALTH FACILITY CODE…………………komamboga……………………………………………..
LEVEL OF CARE……………………………………………………………………………. 
OWNERSHIP…………………………………………………………………………………. 
TOTAL NUMBER OF CLIENTS IN CARE……………………………………………........ 
</t>
  </si>
  <si>
    <t>Before USAID fund withdrawal</t>
  </si>
  <si>
    <t>ADULT REGIMEN</t>
  </si>
  <si>
    <t>Opening Balance</t>
  </si>
  <si>
    <t>Quantity Received</t>
  </si>
  <si>
    <t>Losses/Adjustments</t>
  </si>
  <si>
    <t>Consumption</t>
  </si>
  <si>
    <t>Days out of stock</t>
  </si>
  <si>
    <t>Closing balance</t>
  </si>
  <si>
    <t>Frequency of stock outs</t>
  </si>
  <si>
    <t>Expiries</t>
  </si>
  <si>
    <t>TDF+3TC+DTG (90s) 300/300/50mg</t>
  </si>
  <si>
    <t>TDF+3TC+DTG (30s) 300/300/50mg</t>
  </si>
  <si>
    <t> 3</t>
  </si>
  <si>
    <t>TAF+FTC+DTG</t>
  </si>
  <si>
    <t>NA</t>
  </si>
  <si>
    <t>TDF+3TC+EFV 300/300/400mg</t>
  </si>
  <si>
    <t>TAF+FTC+EFV</t>
  </si>
  <si>
    <t>ABC/3TC 600/300mg</t>
  </si>
  <si>
    <t>ABC+3TC+DTG 600/300/50mg</t>
  </si>
  <si>
    <t>Dolutegravir 50mg (DTG)</t>
  </si>
  <si>
    <t>PAEDIATRICS REGIMENS</t>
  </si>
  <si>
    <t xml:space="preserve">Abacavir/Lamivudine (ABC/3TC) 120/60mg </t>
  </si>
  <si>
    <t>Dolutegravir 10mg (DTG)</t>
  </si>
  <si>
    <t>LPV/r200mg/50mg tablets-Pack of 60</t>
  </si>
  <si>
    <t>ABC+3TC+DTG</t>
  </si>
  <si>
    <t>Test Kit</t>
  </si>
  <si>
    <t>Determine</t>
  </si>
  <si>
    <t>stat Pak</t>
  </si>
  <si>
    <t xml:space="preserve">STOCK AVAILABILITY
HEALTH FACILITY CODE………………………………………………………………..
LEVEL OF CARE……………………………………………………………………………. 
OWNERSHIP…………………………………………………………………………………. 
TOTAL NUMBER OF CLIENTS IN CARE……………………………………………........ 
</t>
  </si>
  <si>
    <t>After USAID fund withdrawal</t>
  </si>
  <si>
    <t xml:space="preserve">RETENTION AT  12 MONTHS
HEALTH FACILITY CODE………………………………………………………………..
LEVEL OF CARE…………………………………………………………………………….
OWNERSHIP………………………………………………………………………………….
TOTAL NUMBER OF CLIENTS IN CARE……………………………………………........
</t>
  </si>
  <si>
    <t>Retention in care Data collection tool</t>
  </si>
  <si>
    <t>COHORT BEFORE USAID FUND WITHDRAWAL (OCT-2023 - DEC-2024)</t>
  </si>
  <si>
    <t>COHORT AFTER USAID FUND WITHDRAWAL JAN-2025 - MAR-2026)</t>
  </si>
  <si>
    <t>Source Document : ART Register</t>
  </si>
  <si>
    <t>AT COHORT START</t>
  </si>
  <si>
    <t>AT COHORT END</t>
  </si>
  <si>
    <t>Number of clients enrolled in the quarter</t>
  </si>
  <si>
    <t xml:space="preserve">Number of Transfer in </t>
  </si>
  <si>
    <t>Number of transfer out</t>
  </si>
  <si>
    <t> NA</t>
  </si>
  <si>
    <t>Number of Deaths</t>
  </si>
  <si>
    <t>Lost to follow up</t>
  </si>
  <si>
    <t>Number retained at 12 months</t>
  </si>
  <si>
    <t>Percentage retention</t>
  </si>
  <si>
    <t xml:space="preserve">HEALTH FACILITY CODE………………………………………………………………..
LEVEL OF CARE……………………………………………………………………………. 
OWNERSHIP…………………………………………………………………………………. 
TOTAL NUMBER OF CLIENTS IN CARE……………………………………………........ 
Summary of VL monitoring before USAID fund withdrawal
</t>
  </si>
  <si>
    <t>VL done on schedule</t>
  </si>
  <si>
    <t>Viral load not done on schedule</t>
  </si>
  <si>
    <t>Results available at facility</t>
  </si>
  <si>
    <t>Results received on time</t>
  </si>
  <si>
    <t>Results  not received on time</t>
  </si>
  <si>
    <t>Suppressed</t>
  </si>
  <si>
    <t>Not suppressed</t>
  </si>
  <si>
    <t>Sex</t>
  </si>
  <si>
    <t>Male</t>
  </si>
  <si>
    <t>Females</t>
  </si>
  <si>
    <t xml:space="preserve">HEALTH FACILITY CODE………………………………………………………………..
LEVEL OF CARE……………………………………………………………………………. 
OWNERSHIP…………………………………………………………………………………. 
TOTAL NUMBER OF CLIENTS IN CARE……………………………………………........ 
Summary of VL monitoring after USAID fund withdrawal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</si>
</sst>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1"/>
      <color theme="1"/>
      <name val="Calibri"/>
      <charset val="1"/>
      <scheme val="minor"/>
    </font>
    <font>
      <sz val="12"/>
      <color theme="1"/>
      <name val="Times New Roman"/>
      <charset val="134"/>
    </font>
    <font>
      <b/>
      <sz val="14"/>
      <color rgb="FF000000"/>
      <name val="Times New Roman"/>
      <charset val="134"/>
    </font>
    <font>
      <sz val="11"/>
      <color rgb="FF000000"/>
      <name val="Times New Roman"/>
      <charset val="134"/>
    </font>
    <font>
      <b/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3" fillId="0" borderId="2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24" applyNumberFormat="0" applyAlignment="0" applyProtection="0">
      <alignment vertical="center"/>
    </xf>
    <xf numFmtId="0" fontId="15" fillId="4" borderId="25" applyNumberFormat="0" applyAlignment="0" applyProtection="0">
      <alignment vertical="center"/>
    </xf>
    <xf numFmtId="0" fontId="16" fillId="4" borderId="24" applyNumberFormat="0" applyAlignment="0" applyProtection="0">
      <alignment vertical="center"/>
    </xf>
    <xf numFmtId="0" fontId="17" fillId="5" borderId="26" applyNumberFormat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9" fillId="0" borderId="2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49">
    <xf numFmtId="0" fontId="0" fillId="0" borderId="0" xfId="0"/>
    <xf numFmtId="0" fontId="0" fillId="0" borderId="0" xfId="0" applyAlignment="1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0" fillId="0" borderId="0" xfId="0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5" xfId="0" applyFont="1" applyFill="1" applyBorder="1" applyAlignment="1">
      <alignment vertical="center"/>
    </xf>
    <xf numFmtId="0" fontId="0" fillId="0" borderId="16" xfId="0" applyBorder="1"/>
    <xf numFmtId="0" fontId="0" fillId="0" borderId="17" xfId="0" applyBorder="1"/>
    <xf numFmtId="0" fontId="3" fillId="0" borderId="14" xfId="0" applyFont="1" applyFill="1" applyBorder="1" applyAlignment="1">
      <alignment vertical="center"/>
    </xf>
    <xf numFmtId="0" fontId="0" fillId="0" borderId="14" xfId="0" applyBorder="1"/>
    <xf numFmtId="0" fontId="3" fillId="0" borderId="18" xfId="0" applyFont="1" applyFill="1" applyBorder="1" applyAlignment="1">
      <alignment vertical="center"/>
    </xf>
    <xf numFmtId="0" fontId="0" fillId="0" borderId="19" xfId="0" applyBorder="1"/>
    <xf numFmtId="0" fontId="0" fillId="0" borderId="20" xfId="0" applyBorder="1"/>
    <xf numFmtId="0" fontId="0" fillId="0" borderId="0" xfId="0" applyAlignment="1">
      <alignment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3" fillId="0" borderId="9" xfId="0" applyFont="1" applyBorder="1" applyAlignment="1">
      <alignment horizontal="right"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46"/>
  <sheetViews>
    <sheetView tabSelected="1" workbookViewId="0">
      <selection activeCell="F49" sqref="F49"/>
    </sheetView>
  </sheetViews>
  <sheetFormatPr defaultColWidth="9" defaultRowHeight="16.8"/>
  <cols>
    <col min="1" max="2" width="9.140625" style="39"/>
    <col min="3" max="3" width="20.5703125" style="39" customWidth="1"/>
    <col min="4" max="4" width="20.2890625" style="39" customWidth="1"/>
    <col min="5" max="5" width="19.4296875" style="39" customWidth="1"/>
    <col min="6" max="6" width="16.5703125" style="39" customWidth="1"/>
    <col min="7" max="7" width="14.4296875" style="39" customWidth="1"/>
    <col min="8" max="8" width="13.5703125" style="39" customWidth="1"/>
    <col min="9" max="9" width="13.4296875" style="39" customWidth="1"/>
    <col min="10" max="10" width="16.4296875" style="39" customWidth="1"/>
    <col min="11" max="11" width="11.4296875" style="39" customWidth="1"/>
    <col min="12" max="16384" width="9.140625" style="39"/>
  </cols>
  <sheetData>
    <row r="2" ht="104.25" customHeight="1" spans="2:11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</row>
    <row r="3" ht="17.55"/>
    <row r="4" ht="17.55" spans="2:11">
      <c r="B4" s="40" t="s">
        <v>1</v>
      </c>
      <c r="C4" s="41"/>
      <c r="D4" s="41"/>
      <c r="E4" s="41"/>
      <c r="F4" s="41"/>
      <c r="G4" s="41"/>
      <c r="H4" s="41"/>
      <c r="I4" s="41"/>
      <c r="J4" s="41"/>
      <c r="K4" s="42"/>
    </row>
    <row r="5" ht="34.75" spans="2:11">
      <c r="B5" s="43"/>
      <c r="C5" s="44" t="s">
        <v>2</v>
      </c>
      <c r="D5" s="45" t="s">
        <v>3</v>
      </c>
      <c r="E5" s="45" t="s">
        <v>4</v>
      </c>
      <c r="F5" s="45" t="s">
        <v>5</v>
      </c>
      <c r="G5" s="45" t="s">
        <v>6</v>
      </c>
      <c r="H5" s="45" t="s">
        <v>7</v>
      </c>
      <c r="I5" s="45" t="s">
        <v>8</v>
      </c>
      <c r="J5" s="45" t="s">
        <v>9</v>
      </c>
      <c r="K5" s="45" t="s">
        <v>10</v>
      </c>
    </row>
    <row r="6" ht="34.75" spans="2:11">
      <c r="B6" s="46">
        <v>1</v>
      </c>
      <c r="C6" s="47" t="s">
        <v>11</v>
      </c>
      <c r="D6" s="47">
        <v>1440</v>
      </c>
      <c r="E6" s="47">
        <v>19578</v>
      </c>
      <c r="F6" s="47">
        <v>1544</v>
      </c>
      <c r="G6" s="47">
        <v>19605</v>
      </c>
      <c r="H6" s="47">
        <v>0</v>
      </c>
      <c r="I6" s="47">
        <v>2957</v>
      </c>
      <c r="J6" s="47">
        <v>0</v>
      </c>
      <c r="K6" s="47">
        <v>0</v>
      </c>
    </row>
    <row r="7" ht="34.75" spans="2:11">
      <c r="B7" s="46">
        <v>2</v>
      </c>
      <c r="C7" s="47" t="s">
        <v>12</v>
      </c>
      <c r="D7" s="47">
        <v>10</v>
      </c>
      <c r="E7" s="47">
        <v>15854</v>
      </c>
      <c r="F7" s="47">
        <v>-490</v>
      </c>
      <c r="G7" s="47">
        <v>10470</v>
      </c>
      <c r="H7" s="47">
        <v>0</v>
      </c>
      <c r="I7" s="47">
        <v>4904</v>
      </c>
      <c r="J7" s="47">
        <v>0</v>
      </c>
      <c r="K7" s="47">
        <v>0</v>
      </c>
    </row>
    <row r="8" ht="17.75" spans="2:11">
      <c r="B8" s="48" t="s">
        <v>13</v>
      </c>
      <c r="C8" s="47" t="s">
        <v>14</v>
      </c>
      <c r="D8" s="47" t="s">
        <v>15</v>
      </c>
      <c r="E8" s="47"/>
      <c r="F8" s="47"/>
      <c r="G8" s="47"/>
      <c r="H8" s="47"/>
      <c r="I8" s="47"/>
      <c r="J8" s="47"/>
      <c r="K8" s="47"/>
    </row>
    <row r="9" ht="34.75" spans="2:11">
      <c r="B9" s="48">
        <v>4</v>
      </c>
      <c r="C9" s="47" t="s">
        <v>16</v>
      </c>
      <c r="D9" s="47">
        <v>400</v>
      </c>
      <c r="E9" s="47">
        <v>164</v>
      </c>
      <c r="F9" s="47">
        <v>-307</v>
      </c>
      <c r="G9" s="47">
        <v>153</v>
      </c>
      <c r="H9" s="47">
        <v>161</v>
      </c>
      <c r="I9" s="47">
        <v>104</v>
      </c>
      <c r="J9" s="47">
        <v>1</v>
      </c>
      <c r="K9" s="47">
        <v>0</v>
      </c>
    </row>
    <row r="10" ht="17.75" spans="2:11">
      <c r="B10" s="48">
        <v>5</v>
      </c>
      <c r="C10" s="47" t="s">
        <v>17</v>
      </c>
      <c r="D10" s="47" t="s">
        <v>15</v>
      </c>
      <c r="E10" s="47"/>
      <c r="F10" s="47"/>
      <c r="G10" s="47"/>
      <c r="H10" s="47"/>
      <c r="I10" s="47"/>
      <c r="J10" s="47"/>
      <c r="K10" s="47"/>
    </row>
    <row r="11" ht="17.75" spans="2:11">
      <c r="B11" s="48">
        <v>6</v>
      </c>
      <c r="C11" s="47" t="s">
        <v>18</v>
      </c>
      <c r="D11" s="47">
        <v>147</v>
      </c>
      <c r="E11" s="47">
        <v>32</v>
      </c>
      <c r="F11" s="47">
        <v>-7</v>
      </c>
      <c r="G11" s="47">
        <v>148</v>
      </c>
      <c r="H11" s="47">
        <v>45</v>
      </c>
      <c r="I11" s="47">
        <v>24</v>
      </c>
      <c r="J11" s="47">
        <v>1</v>
      </c>
      <c r="K11" s="47">
        <v>0</v>
      </c>
    </row>
    <row r="12" ht="34.75" spans="2:11">
      <c r="B12" s="46">
        <v>7</v>
      </c>
      <c r="C12" s="47" t="s">
        <v>19</v>
      </c>
      <c r="D12" s="47">
        <v>165</v>
      </c>
      <c r="E12" s="47">
        <v>491</v>
      </c>
      <c r="F12" s="47">
        <v>199</v>
      </c>
      <c r="G12" s="47">
        <v>807</v>
      </c>
      <c r="H12" s="47">
        <v>16</v>
      </c>
      <c r="I12" s="47">
        <v>48</v>
      </c>
      <c r="J12" s="47">
        <v>1</v>
      </c>
      <c r="K12" s="47">
        <v>0</v>
      </c>
    </row>
    <row r="13" ht="17.75" spans="2:11">
      <c r="B13" s="46">
        <v>8</v>
      </c>
      <c r="C13" s="47" t="s">
        <v>20</v>
      </c>
      <c r="D13" s="47">
        <v>1172</v>
      </c>
      <c r="E13" s="47">
        <v>1644</v>
      </c>
      <c r="F13" s="47">
        <v>168</v>
      </c>
      <c r="G13" s="47">
        <v>2230</v>
      </c>
      <c r="H13" s="47">
        <v>54</v>
      </c>
      <c r="I13" s="47">
        <v>754</v>
      </c>
      <c r="J13" s="47">
        <v>4</v>
      </c>
      <c r="K13" s="47">
        <v>0</v>
      </c>
    </row>
    <row r="14" ht="34.75" spans="2:11">
      <c r="B14" s="43"/>
      <c r="C14" s="44" t="s">
        <v>21</v>
      </c>
      <c r="D14" s="47"/>
      <c r="E14" s="47"/>
      <c r="F14" s="47"/>
      <c r="G14" s="47"/>
      <c r="H14" s="47"/>
      <c r="I14" s="47"/>
      <c r="J14" s="47"/>
      <c r="K14" s="47"/>
    </row>
    <row r="15" ht="34.75" spans="2:11">
      <c r="B15" s="46">
        <v>1</v>
      </c>
      <c r="C15" s="47" t="s">
        <v>22</v>
      </c>
      <c r="D15" s="47">
        <v>0</v>
      </c>
      <c r="E15" s="47">
        <v>1392</v>
      </c>
      <c r="F15" s="47">
        <v>165</v>
      </c>
      <c r="G15" s="47">
        <v>1394</v>
      </c>
      <c r="H15" s="47">
        <v>63</v>
      </c>
      <c r="I15" s="47">
        <v>163</v>
      </c>
      <c r="J15" s="47">
        <v>3</v>
      </c>
      <c r="K15" s="47">
        <v>0</v>
      </c>
    </row>
    <row r="16" ht="17.75" spans="2:11">
      <c r="B16" s="46">
        <v>2</v>
      </c>
      <c r="C16" s="47" t="s">
        <v>23</v>
      </c>
      <c r="D16" s="47">
        <v>720</v>
      </c>
      <c r="E16" s="47">
        <v>322</v>
      </c>
      <c r="F16" s="47">
        <v>-420</v>
      </c>
      <c r="G16" s="47">
        <v>456</v>
      </c>
      <c r="H16" s="47">
        <v>75</v>
      </c>
      <c r="I16" s="47">
        <v>166</v>
      </c>
      <c r="J16" s="47">
        <v>2</v>
      </c>
      <c r="K16" s="47">
        <v>0</v>
      </c>
    </row>
    <row r="17" ht="34.75" spans="2:11">
      <c r="B17" s="46">
        <v>3</v>
      </c>
      <c r="C17" s="47" t="s">
        <v>24</v>
      </c>
      <c r="D17" s="47" t="s">
        <v>15</v>
      </c>
      <c r="E17" s="47"/>
      <c r="F17" s="47"/>
      <c r="G17" s="47"/>
      <c r="H17" s="47"/>
      <c r="I17" s="47"/>
      <c r="J17" s="47"/>
      <c r="K17" s="47"/>
    </row>
    <row r="18" ht="17.75" spans="2:11">
      <c r="B18" s="46">
        <v>4</v>
      </c>
      <c r="C18" s="47" t="s">
        <v>25</v>
      </c>
      <c r="D18" s="47" t="s">
        <v>15</v>
      </c>
      <c r="E18" s="47"/>
      <c r="F18" s="47"/>
      <c r="G18" s="47"/>
      <c r="H18" s="47"/>
      <c r="I18" s="47"/>
      <c r="J18" s="47"/>
      <c r="K18" s="47"/>
    </row>
    <row r="19" ht="17.75" spans="2:11">
      <c r="B19" s="43"/>
      <c r="C19" s="44" t="s">
        <v>26</v>
      </c>
      <c r="D19" s="47"/>
      <c r="E19" s="47"/>
      <c r="F19" s="47"/>
      <c r="G19" s="47"/>
      <c r="H19" s="47"/>
      <c r="I19" s="47"/>
      <c r="J19" s="47"/>
      <c r="K19" s="47"/>
    </row>
    <row r="20" ht="17.75" spans="2:11">
      <c r="B20" s="46">
        <v>1</v>
      </c>
      <c r="C20" s="47" t="s">
        <v>27</v>
      </c>
      <c r="D20" s="47">
        <v>22</v>
      </c>
      <c r="E20" s="47">
        <v>180</v>
      </c>
      <c r="F20" s="47">
        <v>23</v>
      </c>
      <c r="G20" s="47">
        <v>214</v>
      </c>
      <c r="H20" s="47">
        <v>0</v>
      </c>
      <c r="I20" s="47">
        <v>11</v>
      </c>
      <c r="J20" s="47">
        <v>0</v>
      </c>
      <c r="K20" s="47">
        <v>0</v>
      </c>
    </row>
    <row r="21" ht="17.75" spans="2:11">
      <c r="B21" s="46">
        <v>2</v>
      </c>
      <c r="C21" s="47" t="s">
        <v>28</v>
      </c>
      <c r="D21" s="47">
        <v>4</v>
      </c>
      <c r="E21" s="47">
        <v>9</v>
      </c>
      <c r="F21" s="47">
        <v>3</v>
      </c>
      <c r="G21" s="47">
        <v>15</v>
      </c>
      <c r="H21" s="47">
        <v>0</v>
      </c>
      <c r="I21" s="47">
        <v>1</v>
      </c>
      <c r="J21" s="47">
        <v>0</v>
      </c>
      <c r="K21" s="47">
        <v>0</v>
      </c>
    </row>
    <row r="24" ht="104.25" customHeight="1" spans="2:11">
      <c r="B24" s="2" t="s">
        <v>29</v>
      </c>
      <c r="C24" s="2"/>
      <c r="D24" s="2"/>
      <c r="E24" s="2"/>
      <c r="F24" s="2"/>
      <c r="G24" s="2"/>
      <c r="H24" s="2"/>
      <c r="I24" s="2"/>
      <c r="J24" s="2"/>
      <c r="K24" s="2"/>
    </row>
    <row r="25" ht="17.55"/>
    <row r="26" ht="17.55" spans="2:11">
      <c r="B26" s="40" t="s">
        <v>30</v>
      </c>
      <c r="C26" s="41"/>
      <c r="D26" s="41"/>
      <c r="E26" s="41"/>
      <c r="F26" s="41"/>
      <c r="G26" s="41"/>
      <c r="H26" s="41"/>
      <c r="I26" s="41"/>
      <c r="J26" s="41"/>
      <c r="K26" s="42"/>
    </row>
    <row r="27" ht="34.75" spans="2:11">
      <c r="B27" s="43"/>
      <c r="C27" s="44" t="s">
        <v>2</v>
      </c>
      <c r="D27" s="45" t="s">
        <v>3</v>
      </c>
      <c r="E27" s="45" t="s">
        <v>4</v>
      </c>
      <c r="F27" s="45" t="s">
        <v>5</v>
      </c>
      <c r="G27" s="45" t="s">
        <v>6</v>
      </c>
      <c r="H27" s="45" t="s">
        <v>7</v>
      </c>
      <c r="I27" s="45" t="s">
        <v>8</v>
      </c>
      <c r="J27" s="45" t="s">
        <v>9</v>
      </c>
      <c r="K27" s="45" t="s">
        <v>10</v>
      </c>
    </row>
    <row r="28" ht="34.75" spans="2:11">
      <c r="B28" s="46">
        <v>1</v>
      </c>
      <c r="C28" s="47" t="s">
        <v>11</v>
      </c>
      <c r="D28" s="47">
        <v>2957</v>
      </c>
      <c r="E28" s="47">
        <v>17645</v>
      </c>
      <c r="F28" s="47">
        <v>6113</v>
      </c>
      <c r="G28" s="47">
        <v>23254</v>
      </c>
      <c r="H28" s="47">
        <v>0</v>
      </c>
      <c r="I28" s="47">
        <v>3461</v>
      </c>
      <c r="J28" s="47">
        <v>0</v>
      </c>
      <c r="K28" s="47">
        <v>0</v>
      </c>
    </row>
    <row r="29" ht="34.75" spans="2:11">
      <c r="B29" s="46">
        <v>2</v>
      </c>
      <c r="C29" s="47" t="s">
        <v>12</v>
      </c>
      <c r="D29" s="47">
        <v>4904</v>
      </c>
      <c r="E29" s="47">
        <v>505</v>
      </c>
      <c r="F29" s="47">
        <v>127</v>
      </c>
      <c r="G29" s="47">
        <v>5536</v>
      </c>
      <c r="H29" s="47">
        <v>42</v>
      </c>
      <c r="I29" s="47">
        <v>0</v>
      </c>
      <c r="J29" s="47">
        <v>1</v>
      </c>
      <c r="K29" s="47">
        <v>0</v>
      </c>
    </row>
    <row r="30" ht="17.75" spans="2:11">
      <c r="B30" s="48" t="s">
        <v>13</v>
      </c>
      <c r="C30" s="47" t="s">
        <v>14</v>
      </c>
      <c r="D30" s="47" t="s">
        <v>15</v>
      </c>
      <c r="E30" s="47"/>
      <c r="F30" s="47"/>
      <c r="G30" s="47"/>
      <c r="H30" s="47"/>
      <c r="I30" s="47"/>
      <c r="J30" s="47"/>
      <c r="K30" s="47"/>
    </row>
    <row r="31" ht="34.75" spans="2:11">
      <c r="B31" s="48">
        <v>4</v>
      </c>
      <c r="C31" s="47" t="s">
        <v>16</v>
      </c>
      <c r="D31" s="47">
        <v>104</v>
      </c>
      <c r="E31" s="47">
        <v>54</v>
      </c>
      <c r="F31" s="47">
        <v>21</v>
      </c>
      <c r="G31" s="47">
        <v>174</v>
      </c>
      <c r="H31" s="47">
        <v>135</v>
      </c>
      <c r="I31" s="47">
        <v>5</v>
      </c>
      <c r="J31" s="47">
        <v>1</v>
      </c>
      <c r="K31" s="47">
        <v>0</v>
      </c>
    </row>
    <row r="32" ht="17.75" spans="2:11">
      <c r="B32" s="48">
        <v>5</v>
      </c>
      <c r="C32" s="47" t="s">
        <v>17</v>
      </c>
      <c r="D32" s="47" t="s">
        <v>15</v>
      </c>
      <c r="E32" s="47"/>
      <c r="F32" s="47"/>
      <c r="G32" s="47"/>
      <c r="H32" s="47"/>
      <c r="I32" s="47"/>
      <c r="J32" s="47"/>
      <c r="K32" s="47"/>
    </row>
    <row r="33" ht="17.75" spans="2:11">
      <c r="B33" s="48">
        <v>6</v>
      </c>
      <c r="C33" s="47" t="s">
        <v>18</v>
      </c>
      <c r="D33" s="47">
        <v>24</v>
      </c>
      <c r="E33" s="47">
        <v>77</v>
      </c>
      <c r="F33" s="47">
        <v>0</v>
      </c>
      <c r="G33" s="47">
        <v>56</v>
      </c>
      <c r="H33" s="47">
        <v>143</v>
      </c>
      <c r="I33" s="47">
        <v>43</v>
      </c>
      <c r="J33" s="47">
        <v>1</v>
      </c>
      <c r="K33" s="47">
        <v>0</v>
      </c>
    </row>
    <row r="34" ht="34.75" spans="2:11">
      <c r="B34" s="46">
        <v>7</v>
      </c>
      <c r="C34" s="47" t="s">
        <v>19</v>
      </c>
      <c r="D34" s="47">
        <v>48</v>
      </c>
      <c r="E34" s="47">
        <v>835</v>
      </c>
      <c r="F34" s="47">
        <v>38</v>
      </c>
      <c r="G34" s="47">
        <v>783</v>
      </c>
      <c r="H34" s="47">
        <v>0</v>
      </c>
      <c r="I34" s="47">
        <v>138</v>
      </c>
      <c r="J34" s="47">
        <v>0</v>
      </c>
      <c r="K34" s="47">
        <v>0</v>
      </c>
    </row>
    <row r="35" ht="17.75" spans="2:11">
      <c r="B35" s="46">
        <v>8</v>
      </c>
      <c r="C35" s="47" t="s">
        <v>20</v>
      </c>
      <c r="D35" s="47">
        <v>759</v>
      </c>
      <c r="E35" s="47">
        <v>1150</v>
      </c>
      <c r="F35" s="47">
        <v>-472</v>
      </c>
      <c r="G35" s="47">
        <v>1155</v>
      </c>
      <c r="H35" s="47">
        <v>2</v>
      </c>
      <c r="I35" s="47">
        <v>282</v>
      </c>
      <c r="J35" s="47">
        <v>1</v>
      </c>
      <c r="K35" s="47">
        <v>0</v>
      </c>
    </row>
    <row r="36" ht="34.75" spans="2:11">
      <c r="B36" s="43"/>
      <c r="C36" s="44" t="s">
        <v>21</v>
      </c>
      <c r="D36" s="47"/>
      <c r="E36" s="47"/>
      <c r="F36" s="47"/>
      <c r="G36" s="47"/>
      <c r="H36" s="47"/>
      <c r="I36" s="47"/>
      <c r="J36" s="47"/>
      <c r="K36" s="47"/>
    </row>
    <row r="37" ht="34.75" spans="2:11">
      <c r="B37" s="46">
        <v>1</v>
      </c>
      <c r="C37" s="47" t="s">
        <v>22</v>
      </c>
      <c r="D37" s="47">
        <v>163</v>
      </c>
      <c r="E37" s="47">
        <v>137</v>
      </c>
      <c r="F37" s="47">
        <v>-23</v>
      </c>
      <c r="G37" s="47">
        <v>277</v>
      </c>
      <c r="H37" s="47">
        <v>335</v>
      </c>
      <c r="I37" s="47">
        <v>0</v>
      </c>
      <c r="J37" s="47">
        <v>5</v>
      </c>
      <c r="K37" s="47">
        <v>0</v>
      </c>
    </row>
    <row r="38" ht="17.75" spans="2:11">
      <c r="B38" s="46">
        <v>2</v>
      </c>
      <c r="C38" s="47" t="s">
        <v>23</v>
      </c>
      <c r="D38" s="47">
        <v>166</v>
      </c>
      <c r="E38" s="47">
        <v>0</v>
      </c>
      <c r="F38" s="47">
        <v>-16</v>
      </c>
      <c r="G38" s="47">
        <v>150</v>
      </c>
      <c r="H38" s="47">
        <v>290</v>
      </c>
      <c r="I38" s="47">
        <v>0</v>
      </c>
      <c r="J38" s="47">
        <v>1</v>
      </c>
      <c r="K38" s="47">
        <v>0</v>
      </c>
    </row>
    <row r="39" ht="34.75" spans="2:11">
      <c r="B39" s="46">
        <v>3</v>
      </c>
      <c r="C39" s="47" t="s">
        <v>24</v>
      </c>
      <c r="D39" s="47" t="s">
        <v>15</v>
      </c>
      <c r="E39" s="47"/>
      <c r="F39" s="47"/>
      <c r="G39" s="47"/>
      <c r="H39" s="47"/>
      <c r="I39" s="47"/>
      <c r="J39" s="47"/>
      <c r="K39" s="47"/>
    </row>
    <row r="40" ht="17.75" spans="2:11">
      <c r="B40" s="46">
        <v>4</v>
      </c>
      <c r="C40" s="47" t="s">
        <v>25</v>
      </c>
      <c r="D40" s="47">
        <v>0</v>
      </c>
      <c r="E40" s="47">
        <v>518</v>
      </c>
      <c r="F40" s="47">
        <v>65</v>
      </c>
      <c r="G40" s="47">
        <v>569</v>
      </c>
      <c r="H40" s="47">
        <v>62</v>
      </c>
      <c r="I40" s="47">
        <v>14</v>
      </c>
      <c r="J40" s="47">
        <v>3</v>
      </c>
      <c r="K40" s="47">
        <v>0</v>
      </c>
    </row>
    <row r="41" ht="17.75" spans="2:11">
      <c r="B41" s="43"/>
      <c r="C41" s="44" t="s">
        <v>26</v>
      </c>
      <c r="D41" s="47"/>
      <c r="E41" s="47"/>
      <c r="F41" s="47"/>
      <c r="G41" s="47"/>
      <c r="H41" s="47"/>
      <c r="I41" s="47"/>
      <c r="J41" s="47"/>
      <c r="K41" s="47"/>
    </row>
    <row r="42" ht="17.75" spans="2:11">
      <c r="B42" s="46">
        <v>1</v>
      </c>
      <c r="C42" s="47" t="s">
        <v>27</v>
      </c>
      <c r="D42" s="47">
        <v>11</v>
      </c>
      <c r="E42" s="47">
        <v>107</v>
      </c>
      <c r="F42" s="47">
        <v>111</v>
      </c>
      <c r="G42" s="47">
        <v>193</v>
      </c>
      <c r="H42" s="47">
        <v>28</v>
      </c>
      <c r="I42" s="47">
        <v>36</v>
      </c>
      <c r="J42" s="47">
        <v>1</v>
      </c>
      <c r="K42" s="47">
        <v>0</v>
      </c>
    </row>
    <row r="43" ht="17.75" spans="2:11">
      <c r="B43" s="46">
        <v>2</v>
      </c>
      <c r="C43" s="47" t="s">
        <v>28</v>
      </c>
      <c r="D43" s="47">
        <v>1</v>
      </c>
      <c r="E43" s="47">
        <v>30</v>
      </c>
      <c r="F43" s="47">
        <v>5</v>
      </c>
      <c r="G43" s="47">
        <v>34</v>
      </c>
      <c r="H43" s="47">
        <v>3</v>
      </c>
      <c r="I43" s="47">
        <v>2</v>
      </c>
      <c r="J43" s="47">
        <v>1</v>
      </c>
      <c r="K43" s="47">
        <v>0</v>
      </c>
    </row>
    <row r="46" spans="2:11">
      <c r="F46" s="39" t="e">
        <f>_xlfn.T.TEST(H6:H21,H28:H43,1,1)</f>
        <v>#NAME?</v>
      </c>
    </row>
  </sheetData>
  <mergeCells count="4">
    <mergeCell ref="B2:K2"/>
    <mergeCell ref="B4:K4"/>
    <mergeCell ref="B24:K24"/>
    <mergeCell ref="B26:K2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14"/>
  <sheetViews>
    <sheetView topLeftCell="A3" workbookViewId="0">
      <selection activeCell="H14" sqref="H14"/>
    </sheetView>
  </sheetViews>
  <sheetFormatPr defaultColWidth="9" defaultRowHeight="16.8" outlineLevelCol="7"/>
  <cols>
    <col min="2" max="2" width="35.5703125" customWidth="1"/>
    <col min="3" max="3" width="26.7109375" customWidth="1"/>
    <col min="4" max="4" width="18.7109375" customWidth="1"/>
    <col min="6" max="6" width="34.5703125" customWidth="1"/>
    <col min="7" max="7" width="23.2890625" customWidth="1"/>
    <col min="8" max="8" width="24.859375" customWidth="1"/>
  </cols>
  <sheetData>
    <row r="2" ht="104.25" customHeight="1" spans="2:8">
      <c r="B2" s="2" t="s">
        <v>31</v>
      </c>
      <c r="C2" s="12"/>
      <c r="D2" s="12"/>
      <c r="E2" s="12"/>
      <c r="F2" s="12"/>
      <c r="G2" s="12"/>
      <c r="H2" s="12"/>
    </row>
    <row r="3" ht="17.55"/>
    <row r="4" ht="21.15" spans="2:8">
      <c r="B4" s="13" t="s">
        <v>32</v>
      </c>
      <c r="C4" s="14"/>
      <c r="D4" s="14"/>
      <c r="E4" s="14"/>
      <c r="F4" s="14"/>
      <c r="G4" s="14"/>
      <c r="H4" s="15"/>
    </row>
    <row r="5" ht="45" customHeight="1" spans="2:8">
      <c r="B5" s="16" t="s">
        <v>33</v>
      </c>
      <c r="C5" s="17"/>
      <c r="D5" s="18"/>
      <c r="E5" s="19"/>
      <c r="F5" s="16" t="s">
        <v>34</v>
      </c>
      <c r="G5" s="17"/>
      <c r="H5" s="18"/>
    </row>
    <row r="6" ht="30" customHeight="1" spans="2:8">
      <c r="B6" s="16" t="s">
        <v>35</v>
      </c>
      <c r="C6" s="17"/>
      <c r="D6" s="18"/>
      <c r="E6" s="20"/>
      <c r="F6" s="16" t="s">
        <v>35</v>
      </c>
      <c r="G6" s="17"/>
      <c r="H6" s="18"/>
    </row>
    <row r="7" ht="17.55" spans="2:8">
      <c r="B7" s="21"/>
      <c r="C7" s="22" t="s">
        <v>36</v>
      </c>
      <c r="D7" s="22" t="s">
        <v>37</v>
      </c>
      <c r="E7" s="20"/>
      <c r="F7" s="22"/>
      <c r="G7" s="22" t="s">
        <v>36</v>
      </c>
      <c r="H7" s="22" t="s">
        <v>37</v>
      </c>
    </row>
    <row r="8" ht="17.55" spans="2:8">
      <c r="B8" s="21" t="s">
        <v>38</v>
      </c>
      <c r="C8" s="22">
        <v>106</v>
      </c>
      <c r="D8" s="22">
        <v>67</v>
      </c>
      <c r="E8" s="20"/>
      <c r="F8" s="22" t="s">
        <v>38</v>
      </c>
      <c r="G8" s="22">
        <v>102</v>
      </c>
      <c r="H8" s="22">
        <v>62</v>
      </c>
    </row>
    <row r="9" ht="17.55" spans="2:8">
      <c r="B9" s="23" t="s">
        <v>39</v>
      </c>
      <c r="C9" s="24">
        <v>0</v>
      </c>
      <c r="D9" s="24"/>
      <c r="E9" s="25"/>
      <c r="F9" s="25" t="s">
        <v>39</v>
      </c>
      <c r="G9" s="25">
        <v>0</v>
      </c>
      <c r="H9" s="25">
        <v>0</v>
      </c>
    </row>
    <row r="10" ht="18.3" spans="2:8">
      <c r="B10" s="20" t="s">
        <v>40</v>
      </c>
      <c r="C10" s="25" t="s">
        <v>41</v>
      </c>
      <c r="D10" s="25">
        <v>17</v>
      </c>
      <c r="E10" s="26"/>
      <c r="F10" s="27" t="s">
        <v>40</v>
      </c>
      <c r="G10" s="27" t="s">
        <v>41</v>
      </c>
      <c r="H10" s="27">
        <v>13</v>
      </c>
    </row>
    <row r="11" ht="18.3" spans="2:8">
      <c r="B11" s="28" t="s">
        <v>42</v>
      </c>
      <c r="C11" s="29" t="s">
        <v>41</v>
      </c>
      <c r="D11" s="30">
        <v>2</v>
      </c>
      <c r="E11" s="26"/>
      <c r="F11" s="27" t="s">
        <v>42</v>
      </c>
      <c r="G11" s="27" t="s">
        <v>41</v>
      </c>
      <c r="H11" s="27">
        <v>0</v>
      </c>
    </row>
    <row r="12" ht="18.3" spans="2:8">
      <c r="B12" s="31" t="s">
        <v>43</v>
      </c>
      <c r="C12" s="32"/>
      <c r="D12" s="33"/>
      <c r="F12" s="34" t="s">
        <v>43</v>
      </c>
      <c r="G12" s="35"/>
      <c r="H12" s="35"/>
    </row>
    <row r="13" ht="18.3" spans="2:8">
      <c r="B13" s="28" t="s">
        <v>44</v>
      </c>
      <c r="C13" s="32"/>
      <c r="D13" s="33"/>
      <c r="F13" s="27" t="s">
        <v>44</v>
      </c>
      <c r="G13" s="35"/>
      <c r="H13" s="35"/>
    </row>
    <row r="14" ht="18.3" spans="2:8">
      <c r="B14" s="36" t="s">
        <v>45</v>
      </c>
      <c r="C14" s="37"/>
      <c r="D14" s="38"/>
      <c r="F14" s="34" t="s">
        <v>45</v>
      </c>
      <c r="G14" s="35"/>
      <c r="H14" s="35"/>
    </row>
  </sheetData>
  <mergeCells count="7">
    <mergeCell ref="B2:H2"/>
    <mergeCell ref="B4:H4"/>
    <mergeCell ref="B5:D5"/>
    <mergeCell ref="F5:H5"/>
    <mergeCell ref="B6:D6"/>
    <mergeCell ref="F6:H6"/>
    <mergeCell ref="E5:E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topLeftCell="A3" workbookViewId="0">
      <selection activeCell="H22" sqref="H22"/>
    </sheetView>
  </sheetViews>
  <sheetFormatPr defaultColWidth="9" defaultRowHeight="16.8"/>
  <cols>
    <col min="1" max="1" width="9.140625" style="1"/>
    <col min="2" max="2" width="8.140625" style="1" customWidth="1"/>
    <col min="3" max="3" width="9.140625" style="1"/>
    <col min="4" max="4" width="19.7109375" style="1" customWidth="1"/>
    <col min="5" max="5" width="28.859375" style="1" customWidth="1"/>
    <col min="6" max="6" width="23.7109375" style="1" customWidth="1"/>
    <col min="7" max="7" width="22.2890625" style="1" customWidth="1"/>
    <col min="8" max="8" width="26.2890625" style="1" customWidth="1"/>
    <col min="9" max="9" width="11.140625" style="1" customWidth="1"/>
    <col min="10" max="10" width="14.859375" style="1" customWidth="1"/>
    <col min="11" max="16384" width="9.140625" style="1"/>
  </cols>
  <sheetData>
    <row r="2" ht="95.25" customHeight="1" spans="2:10">
      <c r="B2" s="2" t="s">
        <v>46</v>
      </c>
      <c r="C2" s="2"/>
      <c r="D2" s="2"/>
      <c r="E2" s="2"/>
      <c r="F2" s="2"/>
      <c r="G2" s="2"/>
      <c r="H2" s="2"/>
      <c r="I2" s="2"/>
      <c r="J2" s="2"/>
    </row>
    <row r="3" ht="17.55"/>
    <row r="4" ht="22.5" customHeight="1" spans="2:10">
      <c r="B4" s="3"/>
      <c r="C4" s="4"/>
      <c r="D4" s="5" t="s">
        <v>47</v>
      </c>
      <c r="E4" s="5" t="s">
        <v>48</v>
      </c>
      <c r="F4" s="5" t="s">
        <v>49</v>
      </c>
      <c r="G4" s="5" t="s">
        <v>50</v>
      </c>
      <c r="H4" s="5" t="s">
        <v>51</v>
      </c>
      <c r="I4" s="5" t="s">
        <v>52</v>
      </c>
      <c r="J4" s="5" t="s">
        <v>53</v>
      </c>
    </row>
    <row r="5" ht="6" customHeight="1" spans="2:10">
      <c r="B5" s="6"/>
      <c r="C5" s="7"/>
      <c r="D5" s="8"/>
      <c r="E5" s="8"/>
      <c r="F5" s="8"/>
      <c r="G5" s="8"/>
      <c r="H5" s="8"/>
      <c r="I5" s="8"/>
      <c r="J5" s="8"/>
    </row>
    <row r="6" ht="18.35" hidden="1" spans="2:10">
      <c r="B6" s="9" t="s">
        <v>54</v>
      </c>
      <c r="C6" s="10"/>
      <c r="D6" s="11"/>
      <c r="E6" s="11"/>
      <c r="F6" s="11"/>
      <c r="G6" s="11"/>
      <c r="H6" s="11"/>
      <c r="I6" s="11"/>
      <c r="J6" s="11"/>
    </row>
    <row r="7" spans="2:10">
      <c r="B7" s="5" t="s">
        <v>55</v>
      </c>
      <c r="C7" s="5">
        <v>16</v>
      </c>
      <c r="D7" s="5">
        <v>15</v>
      </c>
      <c r="E7" s="5">
        <v>1</v>
      </c>
      <c r="F7" s="5">
        <v>16</v>
      </c>
      <c r="G7" s="5">
        <v>16</v>
      </c>
      <c r="H7" s="5">
        <v>0</v>
      </c>
      <c r="I7" s="5">
        <v>16</v>
      </c>
      <c r="J7" s="5">
        <v>0</v>
      </c>
    </row>
    <row r="8" ht="1.5" customHeight="1" spans="2:10">
      <c r="B8" s="11"/>
      <c r="C8" s="11"/>
      <c r="D8" s="11"/>
      <c r="E8" s="11"/>
      <c r="F8" s="11"/>
      <c r="G8" s="11"/>
      <c r="H8" s="11"/>
      <c r="I8" s="11"/>
      <c r="J8" s="11"/>
    </row>
    <row r="9" spans="2:10">
      <c r="B9" s="5" t="s">
        <v>56</v>
      </c>
      <c r="C9" s="5">
        <v>54</v>
      </c>
      <c r="D9" s="5">
        <v>54</v>
      </c>
      <c r="E9" s="5">
        <v>0</v>
      </c>
      <c r="F9" s="5">
        <v>54</v>
      </c>
      <c r="G9" s="5">
        <v>54</v>
      </c>
      <c r="H9" s="5">
        <v>0</v>
      </c>
      <c r="I9" s="5">
        <v>51</v>
      </c>
      <c r="J9" s="5">
        <v>3</v>
      </c>
    </row>
    <row r="10" ht="0.75" customHeight="1" spans="2:10">
      <c r="B10" s="11"/>
      <c r="C10" s="11"/>
      <c r="D10" s="11"/>
      <c r="E10" s="11"/>
      <c r="F10" s="11"/>
      <c r="G10" s="11"/>
      <c r="H10" s="11"/>
      <c r="I10" s="11"/>
      <c r="J10" s="11"/>
    </row>
    <row r="12" ht="97.5" customHeight="1" spans="2:10">
      <c r="B12" s="2" t="s">
        <v>57</v>
      </c>
      <c r="C12" s="2"/>
      <c r="D12" s="2"/>
      <c r="E12" s="2"/>
      <c r="F12" s="2"/>
      <c r="G12" s="2"/>
      <c r="H12" s="2"/>
      <c r="I12" s="2"/>
      <c r="J12" s="2"/>
    </row>
    <row r="13" ht="17.55"/>
    <row r="14" ht="17.6" spans="2:10">
      <c r="B14" s="3"/>
      <c r="C14" s="4"/>
      <c r="D14" s="5" t="s">
        <v>47</v>
      </c>
      <c r="E14" s="5" t="s">
        <v>48</v>
      </c>
      <c r="F14" s="5" t="s">
        <v>49</v>
      </c>
      <c r="G14" s="5" t="s">
        <v>50</v>
      </c>
      <c r="H14" s="5" t="s">
        <v>51</v>
      </c>
      <c r="I14" s="5" t="s">
        <v>52</v>
      </c>
      <c r="J14" s="5" t="s">
        <v>53</v>
      </c>
    </row>
    <row r="15" ht="14.25" customHeight="1" spans="2:10">
      <c r="B15" s="6"/>
      <c r="C15" s="7"/>
      <c r="D15" s="8"/>
      <c r="E15" s="8"/>
      <c r="F15" s="8"/>
      <c r="G15" s="8"/>
      <c r="H15" s="8"/>
      <c r="I15" s="8"/>
      <c r="J15" s="8"/>
    </row>
    <row r="16" ht="18.35" hidden="1" spans="2:10">
      <c r="B16" s="9" t="s">
        <v>54</v>
      </c>
      <c r="C16" s="10"/>
      <c r="D16" s="11"/>
      <c r="E16" s="11"/>
      <c r="F16" s="11"/>
      <c r="G16" s="11"/>
      <c r="H16" s="11"/>
      <c r="I16" s="11"/>
      <c r="J16" s="11"/>
    </row>
    <row r="17" spans="2:10">
      <c r="B17" s="5" t="s">
        <v>55</v>
      </c>
      <c r="C17" s="5">
        <v>21</v>
      </c>
      <c r="D17" s="5">
        <v>21</v>
      </c>
      <c r="E17" s="5">
        <v>0</v>
      </c>
      <c r="F17" s="5">
        <v>21</v>
      </c>
      <c r="G17" s="5">
        <v>21</v>
      </c>
      <c r="H17" s="5">
        <v>0</v>
      </c>
      <c r="I17" s="5">
        <v>19</v>
      </c>
      <c r="J17" s="5">
        <v>2</v>
      </c>
    </row>
    <row r="18" ht="3" customHeight="1" spans="2:10">
      <c r="B18" s="11"/>
      <c r="C18" s="11"/>
      <c r="D18" s="11"/>
      <c r="E18" s="11"/>
      <c r="F18" s="11"/>
      <c r="G18" s="11"/>
      <c r="H18" s="11"/>
      <c r="I18" s="11"/>
      <c r="J18" s="11"/>
    </row>
    <row r="19" ht="15" customHeight="1" spans="2:10">
      <c r="B19" s="5" t="s">
        <v>56</v>
      </c>
      <c r="C19" s="5">
        <v>52</v>
      </c>
      <c r="D19" s="5">
        <v>52</v>
      </c>
      <c r="E19" s="5">
        <v>0</v>
      </c>
      <c r="F19" s="5">
        <v>52</v>
      </c>
      <c r="G19" s="5">
        <v>52</v>
      </c>
      <c r="H19" s="5">
        <v>0</v>
      </c>
      <c r="I19" s="5">
        <v>45</v>
      </c>
      <c r="J19" s="5">
        <v>7</v>
      </c>
    </row>
    <row r="20" ht="6.75" customHeight="1" spans="2:10">
      <c r="B20" s="11"/>
      <c r="C20" s="11"/>
      <c r="D20" s="11"/>
      <c r="E20" s="11"/>
      <c r="F20" s="11"/>
      <c r="G20" s="11"/>
      <c r="H20" s="11"/>
      <c r="I20" s="11"/>
      <c r="J20" s="11"/>
    </row>
    <row r="22" spans="2:10">
      <c r="H22" s="1" t="e">
        <f>_xlfn.T.TEST(D7:J8,D17:J18,2,1)</f>
        <v>#NAME?</v>
      </c>
    </row>
  </sheetData>
  <mergeCells count="58">
    <mergeCell ref="B2:J2"/>
    <mergeCell ref="B4:C4"/>
    <mergeCell ref="B5:C5"/>
    <mergeCell ref="B6:C6"/>
    <mergeCell ref="B12:J12"/>
    <mergeCell ref="B14:C14"/>
    <mergeCell ref="B15:C15"/>
    <mergeCell ref="B16:C16"/>
    <mergeCell ref="B7:B8"/>
    <mergeCell ref="B9:B10"/>
    <mergeCell ref="B17:B18"/>
    <mergeCell ref="B19:B20"/>
    <mergeCell ref="C7:C8"/>
    <mergeCell ref="C9:C10"/>
    <mergeCell ref="C17:C18"/>
    <mergeCell ref="C19:C20"/>
    <mergeCell ref="D4:D6"/>
    <mergeCell ref="D7:D8"/>
    <mergeCell ref="D9:D10"/>
    <mergeCell ref="D14:D16"/>
    <mergeCell ref="D17:D18"/>
    <mergeCell ref="D19:D20"/>
    <mergeCell ref="E4:E6"/>
    <mergeCell ref="E7:E8"/>
    <mergeCell ref="E9:E10"/>
    <mergeCell ref="E14:E16"/>
    <mergeCell ref="E17:E18"/>
    <mergeCell ref="E19:E20"/>
    <mergeCell ref="F4:F6"/>
    <mergeCell ref="F7:F8"/>
    <mergeCell ref="F9:F10"/>
    <mergeCell ref="F14:F16"/>
    <mergeCell ref="F17:F18"/>
    <mergeCell ref="F19:F20"/>
    <mergeCell ref="G4:G6"/>
    <mergeCell ref="G7:G8"/>
    <mergeCell ref="G9:G10"/>
    <mergeCell ref="G14:G16"/>
    <mergeCell ref="G17:G18"/>
    <mergeCell ref="G19:G20"/>
    <mergeCell ref="H4:H6"/>
    <mergeCell ref="H7:H8"/>
    <mergeCell ref="H9:H10"/>
    <mergeCell ref="H14:H16"/>
    <mergeCell ref="H17:H18"/>
    <mergeCell ref="H19:H20"/>
    <mergeCell ref="I4:I6"/>
    <mergeCell ref="I7:I8"/>
    <mergeCell ref="I9:I10"/>
    <mergeCell ref="I14:I16"/>
    <mergeCell ref="I17:I18"/>
    <mergeCell ref="I19:I20"/>
    <mergeCell ref="J4:J6"/>
    <mergeCell ref="J7:J8"/>
    <mergeCell ref="J9:J10"/>
    <mergeCell ref="J14:J16"/>
    <mergeCell ref="J17:J18"/>
    <mergeCell ref="J19:J2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stock availability</vt:lpstr>
      <vt:lpstr>Retention</vt:lpstr>
      <vt:lpstr>VL Monitoring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MMS</dc:creator>
  <cp:lastModifiedBy>Gabula Edwin</cp:lastModifiedBy>
  <dcterms:created xsi:type="dcterms:W3CDTF">2026-05-30T16:38:00Z</dcterms:created>
  <dcterms:modified xsi:type="dcterms:W3CDTF">2026-07-26T20:17:01Z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1C6E6AF77DE0AE8E0D41666A903BA499_43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